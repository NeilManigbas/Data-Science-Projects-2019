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fileSharing userName="Neil Manigbas" algorithmName="SHA-512" hashValue="MLoXF+mkEJoAM8WPvGY9d4ASkvDqXZjKsPRNo76Bk5lhJT4rRnCf72kXSoN1Jm41cY7BW2GuVCyIXEAYOVoNfg==" saltValue="vq1fLkWsMCEV0yhc+YQ21Q==" spinCount="10000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eil\Desktop\Neil DATA SCIENTIST\"/>
    </mc:Choice>
  </mc:AlternateContent>
  <bookViews>
    <workbookView xWindow="0" yWindow="0" windowWidth="20490" windowHeight="7620"/>
  </bookViews>
  <sheets>
    <sheet name="TimeSheet" sheetId="1" r:id="rId1"/>
  </sheets>
  <calcPr calcId="152511"/>
</workbook>
</file>

<file path=xl/calcChain.xml><?xml version="1.0" encoding="utf-8"?>
<calcChain xmlns="http://schemas.openxmlformats.org/spreadsheetml/2006/main">
  <c r="D7" i="1" l="1"/>
  <c r="D9" i="1"/>
  <c r="D19" i="1"/>
  <c r="D18" i="1"/>
  <c r="D17" i="1"/>
  <c r="D16" i="1"/>
  <c r="D15" i="1"/>
  <c r="D10" i="1"/>
  <c r="D8" i="1"/>
  <c r="H15" i="1"/>
  <c r="G6" i="1"/>
  <c r="D6" i="1"/>
  <c r="H6" i="1" l="1"/>
  <c r="G16" i="1"/>
  <c r="H16" i="1" s="1"/>
  <c r="G17" i="1"/>
  <c r="H17" i="1" s="1"/>
  <c r="G18" i="1"/>
  <c r="H18" i="1" s="1"/>
  <c r="G19" i="1"/>
  <c r="H19" i="1" s="1"/>
  <c r="G15" i="1"/>
  <c r="G7" i="1"/>
  <c r="H7" i="1" s="1"/>
  <c r="G8" i="1"/>
  <c r="H8" i="1" s="1"/>
  <c r="G9" i="1"/>
  <c r="H9" i="1" s="1"/>
  <c r="G10" i="1"/>
  <c r="H10" i="1" s="1"/>
  <c r="E3" i="1" l="1"/>
  <c r="A19" i="1"/>
  <c r="A18" i="1"/>
  <c r="A17" i="1"/>
  <c r="A16" i="1"/>
  <c r="A15" i="1"/>
  <c r="A10" i="1"/>
  <c r="A9" i="1"/>
  <c r="A8" i="1"/>
  <c r="A7" i="1"/>
  <c r="A6" i="1"/>
  <c r="H20" i="1" l="1"/>
  <c r="H11" i="1"/>
  <c r="H22" i="1" s="1"/>
</calcChain>
</file>

<file path=xl/sharedStrings.xml><?xml version="1.0" encoding="utf-8"?>
<sst xmlns="http://schemas.openxmlformats.org/spreadsheetml/2006/main" count="21" uniqueCount="13">
  <si>
    <t>Date</t>
  </si>
  <si>
    <t xml:space="preserve">to </t>
  </si>
  <si>
    <t>Name</t>
  </si>
  <si>
    <t>In</t>
  </si>
  <si>
    <t>Out</t>
  </si>
  <si>
    <t>Weekly Total</t>
  </si>
  <si>
    <t>Comments</t>
  </si>
  <si>
    <t>TOTAL HOURS</t>
  </si>
  <si>
    <t>Total HRS</t>
  </si>
  <si>
    <t>Breaktime-In</t>
  </si>
  <si>
    <t>Breaktime-Out</t>
  </si>
  <si>
    <t>Neil Manigbas</t>
  </si>
  <si>
    <t>NOTE: Cut, Copy and Paste action is not allowed in this workbook.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</si>
</sst>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mmm\ d\,\ yyyy;@"/>
  </numFmts>
  <fonts count="6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Border="1"/>
    <xf numFmtId="0" fontId="0" fillId="0" borderId="0" xfId="0" applyAlignment="1">
      <alignment wrapText="1"/>
    </xf>
    <xf numFmtId="2" fontId="0" fillId="0" borderId="0" xfId="0" applyNumberFormat="1"/>
    <xf numFmtId="0" fontId="0" fillId="0" borderId="0" xfId="0" applyAlignment="1">
      <alignment horizontal="right" wrapText="1"/>
    </xf>
    <xf numFmtId="0" fontId="0" fillId="3" borderId="0" xfId="0" applyFill="1" applyProtection="1"/>
    <xf numFmtId="14" fontId="0" fillId="3" borderId="0" xfId="0" applyNumberFormat="1" applyFill="1" applyBorder="1"/>
    <xf numFmtId="2" fontId="0" fillId="3" borderId="0" xfId="0" applyNumberFormat="1" applyFill="1" applyProtection="1"/>
    <xf numFmtId="0" fontId="0" fillId="3" borderId="0" xfId="0" applyFill="1" applyAlignment="1" applyProtection="1">
      <alignment wrapText="1"/>
    </xf>
    <xf numFmtId="0" fontId="0" fillId="3" borderId="0" xfId="0" applyFill="1" applyAlignment="1" applyProtection="1">
      <alignment horizontal="center"/>
    </xf>
    <xf numFmtId="0" fontId="0" fillId="3" borderId="2" xfId="0" applyFill="1" applyBorder="1" applyAlignment="1" applyProtection="1">
      <alignment vertical="center"/>
    </xf>
    <xf numFmtId="0" fontId="2" fillId="3" borderId="0" xfId="0" applyFont="1" applyFill="1" applyAlignment="1" applyProtection="1">
      <alignment wrapText="1"/>
    </xf>
    <xf numFmtId="2" fontId="2" fillId="3" borderId="0" xfId="0" applyNumberFormat="1" applyFont="1" applyFill="1" applyAlignment="1" applyProtection="1">
      <alignment wrapText="1"/>
    </xf>
    <xf numFmtId="18" fontId="0" fillId="0" borderId="2" xfId="0" applyNumberFormat="1" applyFill="1" applyBorder="1" applyAlignment="1" applyProtection="1">
      <alignment horizontal="left" vertical="center"/>
      <protection locked="0"/>
    </xf>
    <xf numFmtId="49" fontId="0" fillId="0" borderId="2" xfId="0" applyNumberFormat="1" applyFill="1" applyBorder="1" applyAlignment="1" applyProtection="1">
      <alignment horizontal="left" vertical="center" wrapText="1"/>
      <protection locked="0"/>
    </xf>
    <xf numFmtId="2" fontId="0" fillId="4" borderId="2" xfId="0" applyNumberFormat="1" applyFill="1" applyBorder="1" applyAlignment="1" applyProtection="1">
      <alignment horizontal="left" vertical="center" wrapText="1"/>
    </xf>
    <xf numFmtId="2" fontId="0" fillId="4" borderId="2" xfId="0" applyNumberFormat="1" applyFill="1" applyBorder="1" applyAlignment="1" applyProtection="1">
      <alignment wrapText="1"/>
    </xf>
    <xf numFmtId="2" fontId="2" fillId="2" borderId="0" xfId="0" applyNumberFormat="1" applyFont="1" applyFill="1" applyAlignment="1" applyProtection="1">
      <alignment wrapText="1"/>
    </xf>
    <xf numFmtId="14" fontId="3" fillId="0" borderId="1" xfId="0" applyNumberFormat="1" applyFont="1" applyFill="1" applyBorder="1" applyAlignment="1" applyProtection="1">
      <alignment horizontal="center" vertical="center"/>
      <protection locked="0"/>
    </xf>
    <xf numFmtId="164" fontId="0" fillId="3" borderId="1" xfId="0" applyNumberFormat="1" applyFill="1" applyBorder="1" applyAlignment="1" applyProtection="1">
      <alignment horizontal="center" vertical="center"/>
    </xf>
    <xf numFmtId="164" fontId="4" fillId="0" borderId="1" xfId="0" applyNumberFormat="1" applyFont="1" applyFill="1" applyBorder="1" applyAlignment="1" applyProtection="1">
      <alignment horizontal="center" vertical="center"/>
      <protection locked="0"/>
    </xf>
    <xf numFmtId="2" fontId="0" fillId="3" borderId="0" xfId="0" applyNumberFormat="1" applyFill="1" applyBorder="1"/>
    <xf numFmtId="2" fontId="0" fillId="3" borderId="0" xfId="0" applyNumberFormat="1" applyFill="1" applyAlignment="1" applyProtection="1">
      <alignment horizontal="center"/>
    </xf>
    <xf numFmtId="0" fontId="5" fillId="3" borderId="0" xfId="0" applyFont="1" applyFill="1" applyAlignment="1" applyProtection="1">
      <alignment vertical="top"/>
    </xf>
    <xf numFmtId="2" fontId="0" fillId="0" borderId="2" xfId="0" applyNumberFormat="1" applyFill="1" applyBorder="1" applyAlignment="1" applyProtection="1">
      <alignment horizontal="left" vertical="center"/>
    </xf>
    <xf numFmtId="2" fontId="0" fillId="5" borderId="2" xfId="0" applyNumberFormat="1" applyFill="1" applyBorder="1" applyAlignment="1" applyProtection="1">
      <alignment horizontal="left" vertical="center"/>
    </xf>
    <xf numFmtId="18" fontId="0" fillId="6" borderId="2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723900</xdr:colOff>
      <xdr:row>0</xdr:row>
      <xdr:rowOff>171450</xdr:rowOff>
    </xdr:from>
    <xdr:to>
      <xdr:col>8</xdr:col>
      <xdr:colOff>1104900</xdr:colOff>
      <xdr:row>1</xdr:row>
      <xdr:rowOff>180975</xdr:rowOff>
    </xdr:to>
    <xdr:sp macro="[0]!Rectangle1_Click" textlink="">
      <xdr:nvSpPr>
        <xdr:cNvPr id="2" name="Rectangle 1"/>
        <xdr:cNvSpPr/>
      </xdr:nvSpPr>
      <xdr:spPr>
        <a:xfrm>
          <a:off x="6781800" y="171450"/>
          <a:ext cx="1209675" cy="200025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</a:rPr>
            <a:t>Save TimeSheet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23"/>
  <sheetViews>
    <sheetView tabSelected="1" workbookViewId="0">
      <selection activeCell="C8" sqref="C8"/>
    </sheetView>
  </sheetViews>
  <sheetFormatPr defaultRowHeight="15" x14ac:dyDescent="0.25"/>
  <cols>
    <col min="1" max="1" width="15.42578125" bestFit="1" customWidth="1"/>
    <col min="2" max="2" width="18.85546875" customWidth="1"/>
    <col min="3" max="3" width="19.5703125" customWidth="1"/>
    <col min="4" max="4" width="19.5703125" style="3" hidden="1" customWidth="1"/>
    <col min="5" max="5" width="18.7109375" customWidth="1"/>
    <col min="6" max="6" width="18.28515625" customWidth="1"/>
    <col min="7" max="7" width="18.28515625" style="3" hidden="1" customWidth="1"/>
    <col min="8" max="8" width="12.42578125" style="2" customWidth="1"/>
    <col min="9" max="9" width="18.5703125" style="2" customWidth="1"/>
  </cols>
  <sheetData>
    <row r="1" spans="1:14" x14ac:dyDescent="0.25">
      <c r="A1" s="5" t="s">
        <v>2</v>
      </c>
      <c r="B1" s="18" t="s">
        <v>11</v>
      </c>
      <c r="C1" s="6"/>
      <c r="D1" s="21"/>
      <c r="E1" s="5"/>
      <c r="F1" s="5"/>
      <c r="G1" s="7"/>
      <c r="H1" s="8"/>
      <c r="I1" s="5"/>
    </row>
    <row r="2" spans="1:14" x14ac:dyDescent="0.25">
      <c r="A2" s="5"/>
      <c r="B2" s="5"/>
      <c r="C2" s="5"/>
      <c r="D2" s="7"/>
      <c r="E2" s="5"/>
      <c r="F2" s="5"/>
      <c r="G2" s="7"/>
      <c r="H2" s="8"/>
      <c r="I2" s="8"/>
    </row>
    <row r="3" spans="1:14" x14ac:dyDescent="0.25">
      <c r="A3" s="5" t="s">
        <v>0</v>
      </c>
      <c r="B3" s="20">
        <v>43633</v>
      </c>
      <c r="C3" s="9" t="s">
        <v>1</v>
      </c>
      <c r="D3" s="22"/>
      <c r="E3" s="19">
        <f>B3+11</f>
        <v>43644</v>
      </c>
      <c r="F3" s="5"/>
      <c r="G3" s="7"/>
      <c r="H3" s="8"/>
      <c r="I3" s="8"/>
    </row>
    <row r="4" spans="1:14" x14ac:dyDescent="0.25">
      <c r="A4" s="5"/>
      <c r="B4" s="5"/>
      <c r="C4" s="5"/>
      <c r="D4" s="7"/>
      <c r="E4" s="5"/>
      <c r="F4" s="5"/>
      <c r="G4" s="7"/>
      <c r="H4" s="8"/>
      <c r="I4" s="8"/>
    </row>
    <row r="5" spans="1:14" x14ac:dyDescent="0.25">
      <c r="A5" s="5"/>
      <c r="B5" s="5" t="s">
        <v>3</v>
      </c>
      <c r="C5" s="5" t="s">
        <v>4</v>
      </c>
      <c r="D5" s="7"/>
      <c r="E5" s="5" t="s">
        <v>9</v>
      </c>
      <c r="F5" s="5" t="s">
        <v>10</v>
      </c>
      <c r="G5" s="7"/>
      <c r="H5" s="8" t="s">
        <v>8</v>
      </c>
      <c r="I5" s="8" t="s">
        <v>6</v>
      </c>
    </row>
    <row r="6" spans="1:14" ht="30" customHeight="1" x14ac:dyDescent="0.25">
      <c r="A6" s="10" t="str">
        <f>CONCATENATE( "Monday (",TEXT(B3, "dd"),")")</f>
        <v>Monday (17)</v>
      </c>
      <c r="B6" s="13">
        <v>0.48541666666666666</v>
      </c>
      <c r="C6" s="13">
        <v>0.72916666666666663</v>
      </c>
      <c r="D6" s="24">
        <f>HOUR(C6-B6)+(MINUTE(C6-B6)/60)</f>
        <v>5.85</v>
      </c>
      <c r="E6" s="26">
        <v>0.5</v>
      </c>
      <c r="F6" s="26">
        <v>0.51736111111111105</v>
      </c>
      <c r="G6" s="25">
        <f>IF((OR(E6="",F6="")),ERROR.TYPE,HOUR(F6-E6)+(MINUTE(F6-E6)/60))</f>
        <v>0.41666666666666669</v>
      </c>
      <c r="H6" s="15">
        <f>IF(AND(B6="",C6="",E6="",F6=""),"No data",(IF(IFERROR(D6,1)=1,"Check In-Out",IF(IFERROR(G6,"A")="A","Check Breaktime",D6-IF(G6&lt;0.5,0,IF(G6&lt;=0.75,0.25,IF(G6&lt;=1,0.5,G6-0.5)))))))</f>
        <v>5.85</v>
      </c>
      <c r="I6" s="14"/>
    </row>
    <row r="7" spans="1:14" ht="30" customHeight="1" x14ac:dyDescent="0.25">
      <c r="A7" s="10" t="str">
        <f>CONCATENATE( "Tuesday (",TEXT(B3+1, "dd"),")")</f>
        <v>Tuesday (18)</v>
      </c>
      <c r="B7" s="13">
        <v>0.3840277777777778</v>
      </c>
      <c r="C7" s="13">
        <v>0.58333333333333337</v>
      </c>
      <c r="D7" s="24">
        <f t="shared" ref="D7" si="0">HOUR(C7-B7)+(MINUTE(C7-B7)/60)</f>
        <v>4.7833333333333332</v>
      </c>
      <c r="E7" s="26">
        <v>0.5</v>
      </c>
      <c r="F7" s="26">
        <v>0.51736111111111105</v>
      </c>
      <c r="G7" s="25">
        <f>IF((OR(E7="",F7="")),ERROR.TYPE,HOUR(F7-E7)+(MINUTE(F7-E7)/60))</f>
        <v>0.41666666666666669</v>
      </c>
      <c r="H7" s="15">
        <f t="shared" ref="H7:H10" si="1">IF(AND(B7="",C7="",E7="",F7=""),"No data",(IF(IFERROR(D7,1)=1,"Check In-Out",IF(IFERROR(G7,"A")="A","Check Breaktime",D7-IF(G7&lt;0.5,0,IF(G7&lt;=0.75,0.25,IF(G7&lt;=1,0.5,G7-0.5)))))))</f>
        <v>4.7833333333333332</v>
      </c>
      <c r="I7" s="14"/>
      <c r="N7" s="3"/>
    </row>
    <row r="8" spans="1:14" ht="30" customHeight="1" x14ac:dyDescent="0.25">
      <c r="A8" s="10" t="str">
        <f>CONCATENATE( "Wednesday (",TEXT(B3+2, "dd"),")")</f>
        <v>Wednesday (19)</v>
      </c>
      <c r="B8" s="13"/>
      <c r="C8" s="13"/>
      <c r="D8" s="24">
        <f t="shared" ref="D8:D10" si="2">HOUR(C8-B8)+(MINUTE(C8-B8)/60)</f>
        <v>0</v>
      </c>
      <c r="E8" s="26"/>
      <c r="F8" s="26"/>
      <c r="G8" s="25" t="e">
        <f>IF((OR(E8="",F8="")),ERROR.TYPE,HOUR(F8-E8)+(MINUTE(F8-E8)/60))</f>
        <v>#NAME?</v>
      </c>
      <c r="H8" s="15" t="str">
        <f t="shared" si="1"/>
        <v>No data</v>
      </c>
      <c r="I8" s="14"/>
      <c r="J8" s="1"/>
    </row>
    <row r="9" spans="1:14" ht="30" customHeight="1" x14ac:dyDescent="0.25">
      <c r="A9" s="10" t="str">
        <f>CONCATENATE( "Thursday (",TEXT(B3+3, "dd"),")")</f>
        <v>Thursday (20)</v>
      </c>
      <c r="B9" s="13"/>
      <c r="C9" s="13"/>
      <c r="D9" s="24">
        <f t="shared" ref="D9" si="3">HOUR(C9-B9)+(MINUTE(C9-B9)/60)</f>
        <v>0</v>
      </c>
      <c r="E9" s="26"/>
      <c r="F9" s="26"/>
      <c r="G9" s="25" t="e">
        <f>IF((OR(E9="",F9="")),ERROR.TYPE,HOUR(F9-E9)+(MINUTE(F9-E9)/60))</f>
        <v>#NAME?</v>
      </c>
      <c r="H9" s="15" t="str">
        <f t="shared" si="1"/>
        <v>No data</v>
      </c>
      <c r="I9" s="14"/>
    </row>
    <row r="10" spans="1:14" ht="30" customHeight="1" x14ac:dyDescent="0.25">
      <c r="A10" s="10" t="str">
        <f>CONCATENATE( "Friday (",TEXT(B3+4, "dd"),")")</f>
        <v>Friday (21)</v>
      </c>
      <c r="B10" s="13">
        <v>0.625</v>
      </c>
      <c r="C10" s="13">
        <v>0.72916666666666663</v>
      </c>
      <c r="D10" s="24">
        <f t="shared" si="2"/>
        <v>2.5</v>
      </c>
      <c r="E10" s="26">
        <v>0.66666666666666663</v>
      </c>
      <c r="F10" s="26">
        <v>0.66666666666666663</v>
      </c>
      <c r="G10" s="25">
        <f>IF((OR(E10="",F10="")),ERROR.TYPE,HOUR(F10-E10)+(MINUTE(F10-E10)/60))</f>
        <v>0</v>
      </c>
      <c r="H10" s="15">
        <f t="shared" si="1"/>
        <v>2.5</v>
      </c>
      <c r="I10" s="14"/>
    </row>
    <row r="11" spans="1:14" ht="30" customHeight="1" x14ac:dyDescent="0.25">
      <c r="A11" s="23" t="s">
        <v>12</v>
      </c>
      <c r="B11" s="5"/>
      <c r="C11" s="5"/>
      <c r="D11" s="7"/>
      <c r="E11" s="5"/>
      <c r="F11" s="5" t="s">
        <v>5</v>
      </c>
      <c r="G11" s="7"/>
      <c r="H11" s="16">
        <f>SUM(H6:H10)</f>
        <v>13.133333333333333</v>
      </c>
      <c r="I11" s="8"/>
    </row>
    <row r="12" spans="1:14" x14ac:dyDescent="0.25">
      <c r="A12" s="5"/>
      <c r="B12" s="5"/>
      <c r="C12" s="5"/>
      <c r="D12" s="7"/>
      <c r="E12" s="5"/>
      <c r="F12" s="5"/>
      <c r="G12" s="7"/>
      <c r="H12" s="8"/>
      <c r="I12" s="8"/>
    </row>
    <row r="13" spans="1:14" x14ac:dyDescent="0.25">
      <c r="A13" s="5"/>
      <c r="B13" s="5"/>
      <c r="C13" s="5"/>
      <c r="D13" s="7"/>
      <c r="E13" s="5"/>
      <c r="F13" s="5"/>
      <c r="G13" s="7"/>
      <c r="H13" s="8"/>
      <c r="I13" s="8"/>
    </row>
    <row r="14" spans="1:14" x14ac:dyDescent="0.25">
      <c r="A14" s="5"/>
      <c r="B14" s="5" t="s">
        <v>3</v>
      </c>
      <c r="C14" s="5" t="s">
        <v>4</v>
      </c>
      <c r="D14" s="7"/>
      <c r="E14" s="5" t="s">
        <v>9</v>
      </c>
      <c r="F14" s="5" t="s">
        <v>10</v>
      </c>
      <c r="G14" s="7"/>
      <c r="H14" s="8" t="s">
        <v>8</v>
      </c>
      <c r="I14" s="8" t="s">
        <v>6</v>
      </c>
    </row>
    <row r="15" spans="1:14" ht="30" customHeight="1" x14ac:dyDescent="0.25">
      <c r="A15" s="10" t="str">
        <f>CONCATENATE( "Monday (",TEXT(B3+7, "dd"),")")</f>
        <v>Monday (24)</v>
      </c>
      <c r="B15" s="13"/>
      <c r="C15" s="13"/>
      <c r="D15" s="24">
        <f t="shared" ref="D15:D19" si="4">HOUR(C15-B15)+(MINUTE(C15-B15)/60)</f>
        <v>0</v>
      </c>
      <c r="E15" s="26"/>
      <c r="F15" s="26"/>
      <c r="G15" s="25" t="e">
        <f>IF((OR(E15="",F15="")),ERROR.TYPE,HOUR(F15-E15)+(MINUTE(F15-E15)/60))</f>
        <v>#NAME?</v>
      </c>
      <c r="H15" s="15" t="str">
        <f t="shared" ref="H15:H19" si="5">IF(AND(B15="",C15="",E15="",F15=""),"No data",(IF(IFERROR(D15,1)=1,"Check In-Out",IF(IFERROR(G15,"A")="A","Check Breaktime",D15-IF(G15&lt;0.5,0,IF(G15&lt;=0.75,0.25,IF(G15&lt;=1,0.5,G15-0.5)))))))</f>
        <v>No data</v>
      </c>
      <c r="I15" s="14"/>
      <c r="L15" s="3"/>
    </row>
    <row r="16" spans="1:14" ht="30" customHeight="1" x14ac:dyDescent="0.25">
      <c r="A16" s="10" t="str">
        <f>CONCATENATE( "Tuesday (",TEXT(B3+8, "dd"),")")</f>
        <v>Tuesday (25)</v>
      </c>
      <c r="B16" s="13">
        <v>0.41736111111111113</v>
      </c>
      <c r="C16" s="13">
        <v>0.58333333333333337</v>
      </c>
      <c r="D16" s="24">
        <f t="shared" si="4"/>
        <v>3.9833333333333334</v>
      </c>
      <c r="E16" s="26">
        <v>0.5</v>
      </c>
      <c r="F16" s="26">
        <v>0.51736111111111105</v>
      </c>
      <c r="G16" s="25">
        <f>IF((OR(E16="",F16="")),ERROR.TYPE,HOUR(F16-E16)+(MINUTE(F16-E16)/60))</f>
        <v>0.41666666666666669</v>
      </c>
      <c r="H16" s="15">
        <f t="shared" si="5"/>
        <v>3.9833333333333334</v>
      </c>
      <c r="I16" s="14"/>
    </row>
    <row r="17" spans="1:9" ht="30" customHeight="1" x14ac:dyDescent="0.25">
      <c r="A17" s="10" t="str">
        <f>CONCATENATE( "Wednesday (",TEXT(B3+9, "dd"),")")</f>
        <v>Wednesday (26)</v>
      </c>
      <c r="B17" s="13">
        <v>0.44513888888888892</v>
      </c>
      <c r="C17" s="13">
        <v>0.72986111111111107</v>
      </c>
      <c r="D17" s="24">
        <f t="shared" si="4"/>
        <v>6.833333333333333</v>
      </c>
      <c r="E17" s="26">
        <v>0.5</v>
      </c>
      <c r="F17" s="26">
        <v>0.51736111111111105</v>
      </c>
      <c r="G17" s="25">
        <f>IF((OR(E17="",F17="")),ERROR.TYPE,HOUR(F17-E17)+(MINUTE(F17-E17)/60))</f>
        <v>0.41666666666666669</v>
      </c>
      <c r="H17" s="15">
        <f t="shared" si="5"/>
        <v>6.833333333333333</v>
      </c>
      <c r="I17" s="14"/>
    </row>
    <row r="18" spans="1:9" ht="30" customHeight="1" x14ac:dyDescent="0.25">
      <c r="A18" s="10" t="str">
        <f>CONCATENATE( "Thursday (",TEXT(B3+10, "dd"),")")</f>
        <v>Thursday (27)</v>
      </c>
      <c r="B18" s="13">
        <v>0.44861111111111113</v>
      </c>
      <c r="C18" s="13">
        <v>0.72916666666666663</v>
      </c>
      <c r="D18" s="24">
        <f t="shared" si="4"/>
        <v>6.7333333333333334</v>
      </c>
      <c r="E18" s="26">
        <v>0.5</v>
      </c>
      <c r="F18" s="26">
        <v>0.51736111111111105</v>
      </c>
      <c r="G18" s="25">
        <f>IF((OR(E18="",F18="")),ERROR.TYPE,HOUR(F18-E18)+(MINUTE(F18-E18)/60))</f>
        <v>0.41666666666666669</v>
      </c>
      <c r="H18" s="15">
        <f t="shared" si="5"/>
        <v>6.7333333333333334</v>
      </c>
      <c r="I18" s="14"/>
    </row>
    <row r="19" spans="1:9" ht="30" customHeight="1" x14ac:dyDescent="0.25">
      <c r="A19" s="10" t="str">
        <f>CONCATENATE( "Friday (",TEXT(B3+11, "dd"),")")</f>
        <v>Friday (28)</v>
      </c>
      <c r="B19" s="13">
        <v>9.375E-2</v>
      </c>
      <c r="C19" s="13">
        <v>0.72916666666666663</v>
      </c>
      <c r="D19" s="24">
        <f t="shared" si="4"/>
        <v>15.25</v>
      </c>
      <c r="E19" s="26">
        <v>0.625</v>
      </c>
      <c r="F19" s="26">
        <v>0.625</v>
      </c>
      <c r="G19" s="25">
        <f>IF((OR(E19="",F19="")),ERROR.TYPE,HOUR(F19-E19)+(MINUTE(F19-E19)/60))</f>
        <v>0</v>
      </c>
      <c r="H19" s="15">
        <f t="shared" si="5"/>
        <v>15.25</v>
      </c>
      <c r="I19" s="14"/>
    </row>
    <row r="20" spans="1:9" ht="30" customHeight="1" x14ac:dyDescent="0.25">
      <c r="A20" s="23" t="s">
        <v>12</v>
      </c>
      <c r="B20" s="5"/>
      <c r="C20" s="5"/>
      <c r="D20" s="7"/>
      <c r="E20" s="5"/>
      <c r="F20" s="5" t="s">
        <v>5</v>
      </c>
      <c r="G20" s="7"/>
      <c r="H20" s="16">
        <f>SUM(H15:H19)</f>
        <v>32.799999999999997</v>
      </c>
      <c r="I20" s="8"/>
    </row>
    <row r="21" spans="1:9" x14ac:dyDescent="0.25">
      <c r="A21" s="5"/>
      <c r="B21" s="5"/>
      <c r="C21" s="5"/>
      <c r="D21" s="7"/>
      <c r="E21" s="5"/>
      <c r="F21" s="5"/>
      <c r="G21" s="7"/>
      <c r="H21" s="8"/>
      <c r="I21" s="8"/>
    </row>
    <row r="22" spans="1:9" ht="18.75" x14ac:dyDescent="0.3">
      <c r="A22" s="5"/>
      <c r="B22" s="5"/>
      <c r="C22" s="5"/>
      <c r="D22" s="7"/>
      <c r="E22" s="5"/>
      <c r="F22" s="11" t="s">
        <v>7</v>
      </c>
      <c r="G22" s="12"/>
      <c r="H22" s="17">
        <f>SUM(H11,H20)</f>
        <v>45.93333333333333</v>
      </c>
      <c r="I22" s="8"/>
    </row>
    <row r="23" spans="1:9" x14ac:dyDescent="0.25">
      <c r="H23" s="4"/>
    </row>
  </sheetData>
  <sheetProtection password="EA5D" sheet="1" objects="1" scenarios="1" selectLockedCells="1"/>
  <dataConsolidate/>
  <phoneticPr fontId="1" type="noConversion"/>
  <conditionalFormatting sqref="H6:H10 H15:H19">
    <cfRule type="expression" dxfId="1" priority="1">
      <formula>H6="No data"</formula>
    </cfRule>
    <cfRule type="expression" dxfId="0" priority="4">
      <formula>OR(H6="Check Breaktime",H6="Check In-Out")</formula>
    </cfRule>
  </conditionalFormatting>
  <dataValidations count="3">
    <dataValidation type="custom" showInputMessage="1" showErrorMessage="1" errorTitle="Check the date" error="_x000a_Please insert a valid date." promptTitle="Insert valid date" prompt="_x000a_Date must be a Monday." sqref="B3">
      <formula1>WEEKDAY(B3,2)=1</formula1>
    </dataValidation>
    <dataValidation type="time" allowBlank="1" showInputMessage="1" showErrorMessage="1" errorTitle="Check the time data" error="_x000a_Please insert valid time format." promptTitle="Insert valid time data" prompt="_x000a_Time formats_x000a_13:00 or 1:00 PM" sqref="B15:C19 B6:C10">
      <formula1>0</formula1>
      <formula2>0.999988425925926</formula2>
    </dataValidation>
    <dataValidation type="time" allowBlank="1" showInputMessage="1" showErrorMessage="1" errorTitle="Check the time data" error="_x000a_Please insert valid time." promptTitle="Insert valid time data" prompt="Insert time between In and Out only_x000a__x000a_Time formats_x000a_13:00 or 1:00 PM" sqref="E15:F19 E6:F10">
      <formula1>$B6</formula1>
      <formula2>$C6</formula2>
    </dataValidation>
  </dataValidations>
  <pageMargins left="0.7" right="0.7" top="0.75" bottom="0.75" header="0.3" footer="0.3"/>
  <pageSetup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TimeSheet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Welcome</dc:creator>
  <cp:lastModifiedBy>Neil Manigbas</cp:lastModifiedBy>
  <cp:lastPrinted>2019-06-28T15:03:19Z</cp:lastPrinted>
  <dcterms:created xsi:type="dcterms:W3CDTF">2008-07-15T17:00:33Z</dcterms:created>
  <dcterms:modified xsi:type="dcterms:W3CDTF">2019-07-24T04:54:08Z</dcterms:modified>
</cp:coreProperties>
</file>